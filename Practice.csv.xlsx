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edk\Downloads\"/>
    </mc:Choice>
  </mc:AlternateContent>
  <xr:revisionPtr revIDLastSave="0" documentId="13_ncr:1_{40AF64BF-88E7-43D4-A209-0D7723D24C0C}" xr6:coauthVersionLast="47" xr6:coauthVersionMax="47" xr10:uidLastSave="{00000000-0000-0000-0000-000000000000}"/>
  <bookViews>
    <workbookView xWindow="-108" yWindow="-108" windowWidth="23256" windowHeight="12456" xr2:uid="{1FC1B419-7EEA-4C43-9136-D73D701114E8}"/>
  </bookViews>
  <sheets>
    <sheet name="Practice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I19" i="2"/>
  <c r="J19" i="2"/>
  <c r="K19" i="2"/>
  <c r="L19" i="2"/>
  <c r="H19" i="2"/>
  <c r="L9" i="2"/>
  <c r="M9" i="2"/>
  <c r="N9" i="2"/>
  <c r="O9" i="2"/>
  <c r="P9" i="2"/>
  <c r="Q9" i="2"/>
  <c r="R9" i="2"/>
  <c r="S9" i="2"/>
  <c r="K9" i="2"/>
  <c r="G8" i="2"/>
  <c r="G9" i="2"/>
  <c r="G10" i="2"/>
  <c r="G11" i="2"/>
  <c r="G12" i="2"/>
  <c r="G13" i="2"/>
  <c r="G14" i="2"/>
  <c r="G7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O5" i="1" l="1"/>
  <c r="O4" i="1"/>
</calcChain>
</file>

<file path=xl/sharedStrings.xml><?xml version="1.0" encoding="utf-8"?>
<sst xmlns="http://schemas.openxmlformats.org/spreadsheetml/2006/main" count="56" uniqueCount="56">
  <si>
    <t>Name</t>
  </si>
  <si>
    <t>Roll No</t>
  </si>
  <si>
    <t>Marathi</t>
  </si>
  <si>
    <t>Hindi</t>
  </si>
  <si>
    <t>English</t>
  </si>
  <si>
    <t>Math</t>
  </si>
  <si>
    <t>Amit Sharma</t>
  </si>
  <si>
    <t>Neha Patil</t>
  </si>
  <si>
    <t>Rahul Verma</t>
  </si>
  <si>
    <t>Sneha Joshi</t>
  </si>
  <si>
    <t>Karan Singh</t>
  </si>
  <si>
    <t>Pooja Mehta</t>
  </si>
  <si>
    <t>Arjun Nair</t>
  </si>
  <si>
    <t>Priya Desai</t>
  </si>
  <si>
    <t>Rohit Gupta</t>
  </si>
  <si>
    <t>Anjali Kulkarni</t>
  </si>
  <si>
    <t>Vikram Rao</t>
  </si>
  <si>
    <t>Kavita Iyer</t>
  </si>
  <si>
    <t>Suresh Yadav</t>
  </si>
  <si>
    <t>Meena Shah</t>
  </si>
  <si>
    <t>Deepak Kumar</t>
  </si>
  <si>
    <t>Ritu Agarwal</t>
  </si>
  <si>
    <t>Manish Tiwari</t>
  </si>
  <si>
    <t>Swati Chavan</t>
  </si>
  <si>
    <t>Akash More</t>
  </si>
  <si>
    <t>Nisha Kapoor</t>
  </si>
  <si>
    <t>Sanjay Mishra</t>
  </si>
  <si>
    <t>Rekha Naidu</t>
  </si>
  <si>
    <t>Ajay Thakur</t>
  </si>
  <si>
    <t>Komal Bansal</t>
  </si>
  <si>
    <t>Harish Pillai</t>
  </si>
  <si>
    <t>Shalini Roy</t>
  </si>
  <si>
    <t>Gaurav Jain</t>
  </si>
  <si>
    <t>Tanvi Sawant</t>
  </si>
  <si>
    <t>Mohit Arora</t>
  </si>
  <si>
    <t>Poonam Reddy</t>
  </si>
  <si>
    <t>Sum</t>
  </si>
  <si>
    <t>Max</t>
  </si>
  <si>
    <t>Min</t>
  </si>
  <si>
    <t>Avg</t>
  </si>
  <si>
    <t xml:space="preserve">Pass </t>
  </si>
  <si>
    <t>Fail</t>
  </si>
  <si>
    <t xml:space="preserve">Result </t>
  </si>
  <si>
    <t>Result with =if(and())</t>
  </si>
  <si>
    <t>//use of dollar $</t>
  </si>
  <si>
    <t xml:space="preserve"># REFERENCES </t>
  </si>
  <si>
    <t xml:space="preserve">Absolute reference </t>
  </si>
  <si>
    <t xml:space="preserve">Absolute Refernce </t>
  </si>
  <si>
    <t xml:space="preserve">Mixed Refernce </t>
  </si>
  <si>
    <t>erences</t>
  </si>
  <si>
    <t xml:space="preserve"># Types of refernces </t>
  </si>
  <si>
    <t xml:space="preserve"> references </t>
  </si>
  <si>
    <t xml:space="preserve">1 : Relative cell reference </t>
  </si>
  <si>
    <t xml:space="preserve">2 : Absolute cell reference </t>
  </si>
  <si>
    <t xml:space="preserve">3 : Mixed cell reference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</si>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</sst>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7E41-A4D4-4A3B-A23A-0078DCF36B37}">
  <dimension ref="A1:O31"/>
  <sheetViews>
    <sheetView tabSelected="1" topLeftCell="A18" workbookViewId="0">
      <selection activeCell="J2" sqref="J2:J31"/>
    </sheetView>
  </sheetViews>
  <sheetFormatPr defaultRowHeight="14.4" x14ac:dyDescent="0.3"/>
  <cols>
    <col min="1" max="1" width="17.77734375" customWidth="1"/>
    <col min="9" max="10" width="9" customWidth="1"/>
    <col min="13" max="13" width="18.21875" customWidth="1"/>
    <col min="14" max="14" width="9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36</v>
      </c>
      <c r="H1" s="3" t="s">
        <v>37</v>
      </c>
      <c r="I1" s="3" t="s">
        <v>38</v>
      </c>
      <c r="J1" s="3" t="s">
        <v>55</v>
      </c>
      <c r="K1" s="3" t="s">
        <v>39</v>
      </c>
      <c r="L1" s="3" t="s">
        <v>42</v>
      </c>
      <c r="M1" s="3" t="s">
        <v>43</v>
      </c>
    </row>
    <row r="2" spans="1:15" x14ac:dyDescent="0.3">
      <c r="A2" s="2" t="s">
        <v>6</v>
      </c>
      <c r="B2" s="2">
        <v>1</v>
      </c>
      <c r="C2" s="2">
        <v>78</v>
      </c>
      <c r="D2" s="2">
        <v>82</v>
      </c>
      <c r="E2" s="2">
        <v>75</v>
      </c>
      <c r="F2" s="2">
        <v>88</v>
      </c>
      <c r="G2">
        <f>SUM(C2:F2)</f>
        <v>323</v>
      </c>
      <c r="H2">
        <f>MAX(C2:F2)</f>
        <v>88</v>
      </c>
      <c r="I2">
        <f>MIN(C2:F2)</f>
        <v>75</v>
      </c>
      <c r="J2">
        <f>COUNT(C2:F2)</f>
        <v>4</v>
      </c>
      <c r="K2">
        <f>AVERAGE(C2:F2)</f>
        <v>80.75</v>
      </c>
      <c r="L2" t="str">
        <f>IF(K2&gt;70,"Pass","Fail")</f>
        <v>Pass</v>
      </c>
      <c r="M2" t="str">
        <f>IF(AND(C2&gt;=30,D2&gt;=30,E2&gt;=30,F2&gt;=30),"Pass","Fail")</f>
        <v>Pass</v>
      </c>
    </row>
    <row r="3" spans="1:15" x14ac:dyDescent="0.3">
      <c r="A3" s="2" t="s">
        <v>7</v>
      </c>
      <c r="B3" s="2">
        <v>2</v>
      </c>
      <c r="C3" s="2">
        <v>85</v>
      </c>
      <c r="D3" s="2">
        <v>79</v>
      </c>
      <c r="E3" s="2">
        <v>88</v>
      </c>
      <c r="F3" s="2">
        <v>91</v>
      </c>
      <c r="G3">
        <f t="shared" ref="G3:G31" si="0">SUM(C3:F3)</f>
        <v>343</v>
      </c>
      <c r="H3">
        <f t="shared" ref="H3:H31" si="1">MAX(C3:F3)</f>
        <v>91</v>
      </c>
      <c r="I3">
        <f>MIN(C3:F3)</f>
        <v>79</v>
      </c>
      <c r="J3">
        <f t="shared" ref="J3:J31" si="2">COUNT(C3:F3)</f>
        <v>4</v>
      </c>
      <c r="K3">
        <f>AVERAGE(C3:F3)</f>
        <v>85.75</v>
      </c>
      <c r="L3" t="str">
        <f t="shared" ref="L3:L31" si="3">IF(K3&gt;70,"Pass","Fail")</f>
        <v>Pass</v>
      </c>
      <c r="M3" t="str">
        <f>IF(AND(C3&gt;=30,D3&gt;=30,E3&gt;=30,F3&gt;=30),"Pass","Fail")</f>
        <v>Pass</v>
      </c>
    </row>
    <row r="4" spans="1:15" x14ac:dyDescent="0.3">
      <c r="A4" s="2" t="s">
        <v>8</v>
      </c>
      <c r="B4" s="2">
        <v>3</v>
      </c>
      <c r="C4" s="2">
        <v>67</v>
      </c>
      <c r="D4" s="2">
        <v>72</v>
      </c>
      <c r="E4" s="2">
        <v>70</v>
      </c>
      <c r="F4" s="2">
        <v>20</v>
      </c>
      <c r="G4">
        <f t="shared" si="0"/>
        <v>229</v>
      </c>
      <c r="H4">
        <f t="shared" si="1"/>
        <v>72</v>
      </c>
      <c r="I4">
        <f>MIN(C4:F4)</f>
        <v>20</v>
      </c>
      <c r="J4">
        <f t="shared" si="2"/>
        <v>4</v>
      </c>
      <c r="K4">
        <f>AVERAGE(C4:F4)</f>
        <v>57.25</v>
      </c>
      <c r="L4" t="str">
        <f t="shared" si="3"/>
        <v>Fail</v>
      </c>
      <c r="M4" t="str">
        <f>IF(AND(C4&gt;=30,D4&gt;=30,E4&gt;=30,F4&gt;=30),"Pass","Fail")</f>
        <v>Fail</v>
      </c>
      <c r="N4" t="s">
        <v>40</v>
      </c>
      <c r="O4">
        <f>COUNTIF(L2:L31, "Pass")</f>
        <v>20</v>
      </c>
    </row>
    <row r="5" spans="1:15" x14ac:dyDescent="0.3">
      <c r="A5" s="2" t="s">
        <v>9</v>
      </c>
      <c r="B5" s="2">
        <v>4</v>
      </c>
      <c r="C5" s="2">
        <v>90</v>
      </c>
      <c r="D5" s="2">
        <v>88</v>
      </c>
      <c r="E5" s="2">
        <v>92</v>
      </c>
      <c r="F5" s="2">
        <v>95</v>
      </c>
      <c r="G5">
        <f t="shared" si="0"/>
        <v>365</v>
      </c>
      <c r="H5">
        <f t="shared" si="1"/>
        <v>95</v>
      </c>
      <c r="I5">
        <f>MIN(C5:F5)</f>
        <v>88</v>
      </c>
      <c r="J5">
        <f t="shared" si="2"/>
        <v>4</v>
      </c>
      <c r="K5">
        <f>AVERAGE(C5:F5)</f>
        <v>91.25</v>
      </c>
      <c r="L5" t="str">
        <f t="shared" si="3"/>
        <v>Pass</v>
      </c>
      <c r="M5" t="str">
        <f>IF(AND(C5&gt;=30,D5&gt;=30,E5&gt;=30,F5&gt;=30),"Pass","Fail")</f>
        <v>Pass</v>
      </c>
      <c r="N5" t="s">
        <v>41</v>
      </c>
      <c r="O5">
        <f>COUNTIF(L2:L31,"Fail")</f>
        <v>10</v>
      </c>
    </row>
    <row r="6" spans="1:15" x14ac:dyDescent="0.3">
      <c r="A6" s="2" t="s">
        <v>10</v>
      </c>
      <c r="B6" s="2">
        <v>5</v>
      </c>
      <c r="C6" s="2">
        <v>55</v>
      </c>
      <c r="D6" s="2">
        <v>60</v>
      </c>
      <c r="E6" s="2">
        <v>58</v>
      </c>
      <c r="F6" s="2">
        <v>62</v>
      </c>
      <c r="G6">
        <f t="shared" si="0"/>
        <v>235</v>
      </c>
      <c r="H6">
        <f t="shared" si="1"/>
        <v>62</v>
      </c>
      <c r="I6">
        <f>MIN(C6:F6)</f>
        <v>55</v>
      </c>
      <c r="J6">
        <f t="shared" si="2"/>
        <v>4</v>
      </c>
      <c r="K6">
        <f>AVERAGE(C6:F6)</f>
        <v>58.75</v>
      </c>
      <c r="L6" t="str">
        <f t="shared" si="3"/>
        <v>Fail</v>
      </c>
      <c r="M6" t="str">
        <f>IF(AND(C6&gt;=30,D6&gt;=30,E6&gt;=30,F6&gt;=30),"Pass","Fail")</f>
        <v>Pass</v>
      </c>
    </row>
    <row r="7" spans="1:15" x14ac:dyDescent="0.3">
      <c r="A7" s="2" t="s">
        <v>11</v>
      </c>
      <c r="B7" s="2">
        <v>6</v>
      </c>
      <c r="C7" s="2">
        <v>76</v>
      </c>
      <c r="D7" s="2">
        <v>81</v>
      </c>
      <c r="E7" s="2">
        <v>79</v>
      </c>
      <c r="F7" s="2">
        <v>84</v>
      </c>
      <c r="G7">
        <f t="shared" si="0"/>
        <v>320</v>
      </c>
      <c r="H7">
        <f t="shared" si="1"/>
        <v>84</v>
      </c>
      <c r="I7">
        <f>MIN(C7:F7)</f>
        <v>76</v>
      </c>
      <c r="J7">
        <f t="shared" si="2"/>
        <v>4</v>
      </c>
      <c r="K7">
        <f>AVERAGE(C7:F7)</f>
        <v>80</v>
      </c>
      <c r="L7" t="str">
        <f t="shared" si="3"/>
        <v>Pass</v>
      </c>
      <c r="M7" t="str">
        <f>IF(AND(C7&gt;=30,D7&gt;=30,E7&gt;=30,F7&gt;=30),"Pass","Fail")</f>
        <v>Pass</v>
      </c>
    </row>
    <row r="8" spans="1:15" x14ac:dyDescent="0.3">
      <c r="A8" s="2" t="s">
        <v>12</v>
      </c>
      <c r="B8" s="2">
        <v>7</v>
      </c>
      <c r="C8" s="2">
        <v>88</v>
      </c>
      <c r="D8" s="2">
        <v>85</v>
      </c>
      <c r="E8" s="2">
        <v>90</v>
      </c>
      <c r="F8" s="2">
        <v>87</v>
      </c>
      <c r="G8">
        <f t="shared" si="0"/>
        <v>350</v>
      </c>
      <c r="H8">
        <f t="shared" si="1"/>
        <v>90</v>
      </c>
      <c r="I8">
        <f>MIN(C8:F8)</f>
        <v>85</v>
      </c>
      <c r="J8">
        <f t="shared" si="2"/>
        <v>4</v>
      </c>
      <c r="K8">
        <f>AVERAGE(C8:F8)</f>
        <v>87.5</v>
      </c>
      <c r="L8" t="str">
        <f t="shared" si="3"/>
        <v>Pass</v>
      </c>
      <c r="M8" t="str">
        <f>IF(AND(C8&gt;=30,D8&gt;=30,E8&gt;=30,F8&gt;=30),"Pass","Fail")</f>
        <v>Pass</v>
      </c>
    </row>
    <row r="9" spans="1:15" x14ac:dyDescent="0.3">
      <c r="A9" s="2" t="s">
        <v>13</v>
      </c>
      <c r="B9" s="2">
        <v>8</v>
      </c>
      <c r="C9" s="2">
        <v>92</v>
      </c>
      <c r="D9" s="2">
        <v>89</v>
      </c>
      <c r="E9" s="2">
        <v>94</v>
      </c>
      <c r="F9" s="2">
        <v>96</v>
      </c>
      <c r="G9">
        <f t="shared" si="0"/>
        <v>371</v>
      </c>
      <c r="H9">
        <f t="shared" si="1"/>
        <v>96</v>
      </c>
      <c r="I9">
        <f>MIN(C9:F9)</f>
        <v>89</v>
      </c>
      <c r="J9">
        <f t="shared" si="2"/>
        <v>4</v>
      </c>
      <c r="K9">
        <f>AVERAGE(C9:F9)</f>
        <v>92.75</v>
      </c>
      <c r="L9" t="str">
        <f t="shared" si="3"/>
        <v>Pass</v>
      </c>
      <c r="M9" t="str">
        <f>IF(AND(C9&gt;=30,D9&gt;=30,E9&gt;=30,F9&gt;=30),"Pass","Fail")</f>
        <v>Pass</v>
      </c>
    </row>
    <row r="10" spans="1:15" x14ac:dyDescent="0.3">
      <c r="A10" s="2" t="s">
        <v>14</v>
      </c>
      <c r="B10" s="2">
        <v>9</v>
      </c>
      <c r="C10" s="2">
        <v>60</v>
      </c>
      <c r="D10" s="2">
        <v>65</v>
      </c>
      <c r="E10" s="2">
        <v>63</v>
      </c>
      <c r="F10" s="2">
        <v>70</v>
      </c>
      <c r="G10">
        <f t="shared" si="0"/>
        <v>258</v>
      </c>
      <c r="H10">
        <f t="shared" si="1"/>
        <v>70</v>
      </c>
      <c r="I10">
        <f>MIN(C10:F10)</f>
        <v>60</v>
      </c>
      <c r="J10">
        <f t="shared" si="2"/>
        <v>4</v>
      </c>
      <c r="K10">
        <f>AVERAGE(C10:F10)</f>
        <v>64.5</v>
      </c>
      <c r="L10" t="str">
        <f t="shared" si="3"/>
        <v>Fail</v>
      </c>
      <c r="M10" t="str">
        <f>IF(AND(C10&gt;=30,D10&gt;=30,E10&gt;=30,F10&gt;=30),"Pass","Fail")</f>
        <v>Pass</v>
      </c>
    </row>
    <row r="11" spans="1:15" x14ac:dyDescent="0.3">
      <c r="A11" s="2" t="s">
        <v>15</v>
      </c>
      <c r="B11" s="2">
        <v>10</v>
      </c>
      <c r="C11" s="2">
        <v>84</v>
      </c>
      <c r="D11" s="2">
        <v>80</v>
      </c>
      <c r="E11" s="2">
        <v>86</v>
      </c>
      <c r="F11" s="2">
        <v>89</v>
      </c>
      <c r="G11">
        <f t="shared" si="0"/>
        <v>339</v>
      </c>
      <c r="H11">
        <f t="shared" si="1"/>
        <v>89</v>
      </c>
      <c r="I11">
        <f>MIN(C11:F11)</f>
        <v>80</v>
      </c>
      <c r="J11">
        <f t="shared" si="2"/>
        <v>4</v>
      </c>
      <c r="K11">
        <f>AVERAGE(C11:F11)</f>
        <v>84.75</v>
      </c>
      <c r="L11" t="str">
        <f t="shared" si="3"/>
        <v>Pass</v>
      </c>
      <c r="M11" t="str">
        <f>IF(AND(C11&gt;=30,D11&gt;=30,E11&gt;=30,F11&gt;=30),"Pass","Fail")</f>
        <v>Pass</v>
      </c>
    </row>
    <row r="12" spans="1:15" x14ac:dyDescent="0.3">
      <c r="A12" s="2" t="s">
        <v>16</v>
      </c>
      <c r="B12" s="2">
        <v>11</v>
      </c>
      <c r="C12" s="2">
        <v>73</v>
      </c>
      <c r="D12" s="2">
        <v>75</v>
      </c>
      <c r="E12" s="2">
        <v>72</v>
      </c>
      <c r="F12" s="2">
        <v>78</v>
      </c>
      <c r="G12">
        <f t="shared" si="0"/>
        <v>298</v>
      </c>
      <c r="H12">
        <f t="shared" si="1"/>
        <v>78</v>
      </c>
      <c r="I12">
        <f>MIN(C12:F12)</f>
        <v>72</v>
      </c>
      <c r="J12">
        <f t="shared" si="2"/>
        <v>4</v>
      </c>
      <c r="K12">
        <f>AVERAGE(C12:F12)</f>
        <v>74.5</v>
      </c>
      <c r="L12" t="str">
        <f t="shared" si="3"/>
        <v>Pass</v>
      </c>
      <c r="M12" t="str">
        <f>IF(AND(C12&gt;=30,D12&gt;=30,E12&gt;=30,F12&gt;=30),"Pass","Fail")</f>
        <v>Pass</v>
      </c>
    </row>
    <row r="13" spans="1:15" x14ac:dyDescent="0.3">
      <c r="A13" s="2" t="s">
        <v>17</v>
      </c>
      <c r="B13" s="2">
        <v>12</v>
      </c>
      <c r="C13" s="2">
        <v>89</v>
      </c>
      <c r="D13" s="2">
        <v>91</v>
      </c>
      <c r="E13" s="2">
        <v>90</v>
      </c>
      <c r="F13" s="2">
        <v>93</v>
      </c>
      <c r="G13">
        <f t="shared" si="0"/>
        <v>363</v>
      </c>
      <c r="H13">
        <f t="shared" si="1"/>
        <v>93</v>
      </c>
      <c r="I13">
        <f>MIN(C13:F13)</f>
        <v>89</v>
      </c>
      <c r="J13">
        <f t="shared" si="2"/>
        <v>4</v>
      </c>
      <c r="K13">
        <f>AVERAGE(C13:F13)</f>
        <v>90.75</v>
      </c>
      <c r="L13" t="str">
        <f t="shared" si="3"/>
        <v>Pass</v>
      </c>
      <c r="M13" t="str">
        <f>IF(AND(C13&gt;=30,D13&gt;=30,E13&gt;=30,F13&gt;=30),"Pass","Fail")</f>
        <v>Pass</v>
      </c>
    </row>
    <row r="14" spans="1:15" x14ac:dyDescent="0.3">
      <c r="A14" s="2" t="s">
        <v>18</v>
      </c>
      <c r="B14" s="2">
        <v>13</v>
      </c>
      <c r="C14" s="2">
        <v>66</v>
      </c>
      <c r="D14" s="2">
        <v>68</v>
      </c>
      <c r="E14" s="2">
        <v>25</v>
      </c>
      <c r="F14" s="2">
        <v>69</v>
      </c>
      <c r="G14">
        <f t="shared" si="0"/>
        <v>228</v>
      </c>
      <c r="H14">
        <f t="shared" si="1"/>
        <v>69</v>
      </c>
      <c r="I14">
        <f>MIN(C14:F14)</f>
        <v>25</v>
      </c>
      <c r="J14">
        <f t="shared" si="2"/>
        <v>4</v>
      </c>
      <c r="K14">
        <f>AVERAGE(C14:F14)</f>
        <v>57</v>
      </c>
      <c r="L14" t="str">
        <f t="shared" si="3"/>
        <v>Fail</v>
      </c>
      <c r="M14" t="str">
        <f>IF(AND(C14&gt;=30,D14&gt;=30,E14&gt;=30,F14&gt;=30),"Pass","Fail")</f>
        <v>Fail</v>
      </c>
    </row>
    <row r="15" spans="1:15" x14ac:dyDescent="0.3">
      <c r="A15" s="2" t="s">
        <v>19</v>
      </c>
      <c r="B15" s="2">
        <v>14</v>
      </c>
      <c r="C15" s="2">
        <v>91</v>
      </c>
      <c r="D15" s="2">
        <v>87</v>
      </c>
      <c r="E15" s="2">
        <v>89</v>
      </c>
      <c r="F15" s="2">
        <v>92</v>
      </c>
      <c r="G15">
        <f t="shared" si="0"/>
        <v>359</v>
      </c>
      <c r="H15">
        <f t="shared" si="1"/>
        <v>92</v>
      </c>
      <c r="I15">
        <f>MIN(C15:F15)</f>
        <v>87</v>
      </c>
      <c r="J15">
        <f t="shared" si="2"/>
        <v>4</v>
      </c>
      <c r="K15">
        <f>AVERAGE(C15:F15)</f>
        <v>89.75</v>
      </c>
      <c r="L15" t="str">
        <f t="shared" si="3"/>
        <v>Pass</v>
      </c>
      <c r="M15" t="str">
        <f>IF(AND(C15&gt;=30,D15&gt;=30,E15&gt;=30,F15&gt;=30),"Pass","Fail")</f>
        <v>Pass</v>
      </c>
    </row>
    <row r="16" spans="1:15" x14ac:dyDescent="0.3">
      <c r="A16" s="2" t="s">
        <v>20</v>
      </c>
      <c r="B16" s="2">
        <v>15</v>
      </c>
      <c r="C16" s="2">
        <v>58</v>
      </c>
      <c r="D16" s="2">
        <v>62</v>
      </c>
      <c r="E16" s="2">
        <v>60</v>
      </c>
      <c r="F16" s="2">
        <v>24</v>
      </c>
      <c r="G16">
        <f t="shared" si="0"/>
        <v>204</v>
      </c>
      <c r="H16">
        <f t="shared" si="1"/>
        <v>62</v>
      </c>
      <c r="I16">
        <f>MIN(C16:F16)</f>
        <v>24</v>
      </c>
      <c r="J16">
        <f t="shared" si="2"/>
        <v>4</v>
      </c>
      <c r="K16">
        <f>AVERAGE(C16:F16)</f>
        <v>51</v>
      </c>
      <c r="L16" t="str">
        <f t="shared" si="3"/>
        <v>Fail</v>
      </c>
      <c r="M16" t="str">
        <f>IF(AND(C16&gt;=30,D16&gt;=30,E16&gt;=30,F16&gt;=30),"Pass","Fail")</f>
        <v>Fail</v>
      </c>
    </row>
    <row r="17" spans="1:13" x14ac:dyDescent="0.3">
      <c r="A17" s="2" t="s">
        <v>21</v>
      </c>
      <c r="B17" s="2">
        <v>16</v>
      </c>
      <c r="C17" s="2">
        <v>86</v>
      </c>
      <c r="D17" s="2">
        <v>83</v>
      </c>
      <c r="E17" s="2">
        <v>88</v>
      </c>
      <c r="F17" s="2">
        <v>90</v>
      </c>
      <c r="G17">
        <f t="shared" si="0"/>
        <v>347</v>
      </c>
      <c r="H17">
        <f t="shared" si="1"/>
        <v>90</v>
      </c>
      <c r="I17">
        <f>MIN(C17:F17)</f>
        <v>83</v>
      </c>
      <c r="J17">
        <f t="shared" si="2"/>
        <v>4</v>
      </c>
      <c r="K17">
        <f>AVERAGE(C17:F17)</f>
        <v>86.75</v>
      </c>
      <c r="L17" t="str">
        <f t="shared" si="3"/>
        <v>Pass</v>
      </c>
      <c r="M17" t="str">
        <f>IF(AND(C17&gt;=30,D17&gt;=30,E17&gt;=30,F17&gt;=30),"Pass","Fail")</f>
        <v>Pass</v>
      </c>
    </row>
    <row r="18" spans="1:13" x14ac:dyDescent="0.3">
      <c r="A18" s="2" t="s">
        <v>22</v>
      </c>
      <c r="B18" s="2">
        <v>17</v>
      </c>
      <c r="C18" s="2">
        <v>70</v>
      </c>
      <c r="D18" s="2">
        <v>74</v>
      </c>
      <c r="E18" s="2">
        <v>71</v>
      </c>
      <c r="F18" s="2">
        <v>76</v>
      </c>
      <c r="G18">
        <f t="shared" si="0"/>
        <v>291</v>
      </c>
      <c r="H18">
        <f t="shared" si="1"/>
        <v>76</v>
      </c>
      <c r="I18">
        <f>MIN(C18:F18)</f>
        <v>70</v>
      </c>
      <c r="J18">
        <f t="shared" si="2"/>
        <v>4</v>
      </c>
      <c r="K18">
        <f>AVERAGE(C18:F18)</f>
        <v>72.75</v>
      </c>
      <c r="L18" t="str">
        <f t="shared" si="3"/>
        <v>Pass</v>
      </c>
      <c r="M18" t="str">
        <f>IF(AND(C18&gt;=30,D18&gt;=30,E18&gt;=30,F18&gt;=30),"Pass","Fail")</f>
        <v>Pass</v>
      </c>
    </row>
    <row r="19" spans="1:13" x14ac:dyDescent="0.3">
      <c r="A19" s="2" t="s">
        <v>23</v>
      </c>
      <c r="B19" s="2">
        <v>18</v>
      </c>
      <c r="C19" s="2">
        <v>93</v>
      </c>
      <c r="D19" s="2">
        <v>90</v>
      </c>
      <c r="E19" s="2">
        <v>95</v>
      </c>
      <c r="F19" s="2">
        <v>97</v>
      </c>
      <c r="G19">
        <f t="shared" si="0"/>
        <v>375</v>
      </c>
      <c r="H19">
        <f t="shared" si="1"/>
        <v>97</v>
      </c>
      <c r="I19">
        <f>MIN(C19:F19)</f>
        <v>90</v>
      </c>
      <c r="J19">
        <f t="shared" si="2"/>
        <v>4</v>
      </c>
      <c r="K19">
        <f>AVERAGE(C19:F19)</f>
        <v>93.75</v>
      </c>
      <c r="L19" t="str">
        <f t="shared" si="3"/>
        <v>Pass</v>
      </c>
      <c r="M19" t="str">
        <f>IF(AND(C19&gt;=30,D19&gt;=30,E19&gt;=30,F19&gt;=30),"Pass","Fail")</f>
        <v>Pass</v>
      </c>
    </row>
    <row r="20" spans="1:13" x14ac:dyDescent="0.3">
      <c r="A20" s="2" t="s">
        <v>24</v>
      </c>
      <c r="B20" s="2">
        <v>19</v>
      </c>
      <c r="C20" s="2">
        <v>62</v>
      </c>
      <c r="D20" s="2">
        <v>67</v>
      </c>
      <c r="E20" s="2">
        <v>65</v>
      </c>
      <c r="F20" s="2">
        <v>72</v>
      </c>
      <c r="G20">
        <f t="shared" si="0"/>
        <v>266</v>
      </c>
      <c r="H20">
        <f t="shared" si="1"/>
        <v>72</v>
      </c>
      <c r="I20">
        <f>MIN(C20:F20)</f>
        <v>62</v>
      </c>
      <c r="J20">
        <f t="shared" si="2"/>
        <v>4</v>
      </c>
      <c r="K20">
        <f>AVERAGE(C20:F20)</f>
        <v>66.5</v>
      </c>
      <c r="L20" t="str">
        <f t="shared" si="3"/>
        <v>Fail</v>
      </c>
      <c r="M20" t="str">
        <f>IF(AND(C20&gt;=30,D20&gt;=30,E20&gt;=30,F20&gt;=30),"Pass","Fail")</f>
        <v>Pass</v>
      </c>
    </row>
    <row r="21" spans="1:13" x14ac:dyDescent="0.3">
      <c r="A21" s="2" t="s">
        <v>25</v>
      </c>
      <c r="B21" s="2">
        <v>20</v>
      </c>
      <c r="C21" s="2">
        <v>87</v>
      </c>
      <c r="D21" s="2">
        <v>85</v>
      </c>
      <c r="E21" s="2">
        <v>89</v>
      </c>
      <c r="F21" s="2">
        <v>91</v>
      </c>
      <c r="G21">
        <f t="shared" si="0"/>
        <v>352</v>
      </c>
      <c r="H21">
        <f t="shared" si="1"/>
        <v>91</v>
      </c>
      <c r="I21">
        <f>MIN(C21:F21)</f>
        <v>85</v>
      </c>
      <c r="J21">
        <f t="shared" si="2"/>
        <v>4</v>
      </c>
      <c r="K21">
        <f>AVERAGE(C21:F21)</f>
        <v>88</v>
      </c>
      <c r="L21" t="str">
        <f t="shared" si="3"/>
        <v>Pass</v>
      </c>
      <c r="M21" t="str">
        <f>IF(AND(C21&gt;=30,D21&gt;=30,E21&gt;=30,F21&gt;=30),"Pass","Fail")</f>
        <v>Pass</v>
      </c>
    </row>
    <row r="22" spans="1:13" x14ac:dyDescent="0.3">
      <c r="A22" s="2" t="s">
        <v>26</v>
      </c>
      <c r="B22" s="2">
        <v>21</v>
      </c>
      <c r="C22" s="2">
        <v>64</v>
      </c>
      <c r="D22" s="2">
        <v>30</v>
      </c>
      <c r="E22" s="2">
        <v>66</v>
      </c>
      <c r="F22" s="2">
        <v>73</v>
      </c>
      <c r="G22">
        <f t="shared" si="0"/>
        <v>233</v>
      </c>
      <c r="H22">
        <f t="shared" si="1"/>
        <v>73</v>
      </c>
      <c r="I22">
        <v>22</v>
      </c>
      <c r="J22">
        <f t="shared" si="2"/>
        <v>4</v>
      </c>
      <c r="K22">
        <f>AVERAGE(C22:F22)</f>
        <v>58.25</v>
      </c>
      <c r="L22" t="str">
        <f t="shared" si="3"/>
        <v>Fail</v>
      </c>
      <c r="M22" t="str">
        <f>IF(AND(C22&gt;=30,D22&gt;=30,E22&gt;=30,F22&gt;=30),"Pass","Fail")</f>
        <v>Pass</v>
      </c>
    </row>
    <row r="23" spans="1:13" x14ac:dyDescent="0.3">
      <c r="A23" s="2" t="s">
        <v>27</v>
      </c>
      <c r="B23" s="2">
        <v>22</v>
      </c>
      <c r="C23" s="2">
        <v>90</v>
      </c>
      <c r="D23" s="2">
        <v>88</v>
      </c>
      <c r="E23" s="2">
        <v>91</v>
      </c>
      <c r="F23" s="2">
        <v>20</v>
      </c>
      <c r="G23">
        <f t="shared" si="0"/>
        <v>289</v>
      </c>
      <c r="H23">
        <f t="shared" si="1"/>
        <v>91</v>
      </c>
      <c r="I23">
        <f>MIN(C23:F23)</f>
        <v>20</v>
      </c>
      <c r="J23">
        <f t="shared" si="2"/>
        <v>4</v>
      </c>
      <c r="K23">
        <f>AVERAGE(C23:F23)</f>
        <v>72.25</v>
      </c>
      <c r="L23" t="str">
        <f t="shared" si="3"/>
        <v>Pass</v>
      </c>
      <c r="M23" t="str">
        <f>IF(AND(C23&gt;=30,D23&gt;=30,E23&gt;=30,F23&gt;=30),"Pass","Fail")</f>
        <v>Fail</v>
      </c>
    </row>
    <row r="24" spans="1:13" x14ac:dyDescent="0.3">
      <c r="A24" s="2" t="s">
        <v>28</v>
      </c>
      <c r="B24" s="2">
        <v>23</v>
      </c>
      <c r="C24" s="2">
        <v>59</v>
      </c>
      <c r="D24" s="2">
        <v>63</v>
      </c>
      <c r="E24" s="2">
        <v>61</v>
      </c>
      <c r="F24" s="2">
        <v>67</v>
      </c>
      <c r="G24">
        <f t="shared" si="0"/>
        <v>250</v>
      </c>
      <c r="H24">
        <f t="shared" si="1"/>
        <v>67</v>
      </c>
      <c r="I24">
        <f>MIN(C24:F24)</f>
        <v>59</v>
      </c>
      <c r="J24">
        <f t="shared" si="2"/>
        <v>4</v>
      </c>
      <c r="K24">
        <f>AVERAGE(C24:F24)</f>
        <v>62.5</v>
      </c>
      <c r="L24" t="str">
        <f t="shared" si="3"/>
        <v>Fail</v>
      </c>
      <c r="M24" t="str">
        <f>IF(AND(C24&gt;=30,D24&gt;=30,E24&gt;=30,F24&gt;=30),"Pass","Fail")</f>
        <v>Pass</v>
      </c>
    </row>
    <row r="25" spans="1:13" x14ac:dyDescent="0.3">
      <c r="A25" s="2" t="s">
        <v>29</v>
      </c>
      <c r="B25" s="2">
        <v>24</v>
      </c>
      <c r="C25" s="2">
        <v>88</v>
      </c>
      <c r="D25" s="2">
        <v>84</v>
      </c>
      <c r="E25" s="2">
        <v>87</v>
      </c>
      <c r="F25" s="2">
        <v>90</v>
      </c>
      <c r="G25">
        <f t="shared" si="0"/>
        <v>349</v>
      </c>
      <c r="H25">
        <f t="shared" si="1"/>
        <v>90</v>
      </c>
      <c r="I25">
        <f>MIN(C25:F25)</f>
        <v>84</v>
      </c>
      <c r="J25">
        <f t="shared" si="2"/>
        <v>4</v>
      </c>
      <c r="K25">
        <f>AVERAGE(C25:F25)</f>
        <v>87.25</v>
      </c>
      <c r="L25" t="str">
        <f t="shared" si="3"/>
        <v>Pass</v>
      </c>
      <c r="M25" t="str">
        <f>IF(AND(C25&gt;=30,D25&gt;=30,E25&gt;=30,F25&gt;=30),"Pass","Fail")</f>
        <v>Pass</v>
      </c>
    </row>
    <row r="26" spans="1:13" x14ac:dyDescent="0.3">
      <c r="A26" s="2" t="s">
        <v>30</v>
      </c>
      <c r="B26" s="2">
        <v>25</v>
      </c>
      <c r="C26" s="2">
        <v>71</v>
      </c>
      <c r="D26" s="2">
        <v>73</v>
      </c>
      <c r="E26" s="2">
        <v>70</v>
      </c>
      <c r="F26" s="2">
        <v>75</v>
      </c>
      <c r="G26">
        <f t="shared" si="0"/>
        <v>289</v>
      </c>
      <c r="H26">
        <f t="shared" si="1"/>
        <v>75</v>
      </c>
      <c r="I26">
        <f>MIN(C26:F26)</f>
        <v>70</v>
      </c>
      <c r="J26">
        <f t="shared" si="2"/>
        <v>4</v>
      </c>
      <c r="K26">
        <f>AVERAGE(C26:F26)</f>
        <v>72.25</v>
      </c>
      <c r="L26" t="str">
        <f t="shared" si="3"/>
        <v>Pass</v>
      </c>
      <c r="M26" t="str">
        <f>IF(AND(C26&gt;=30,D26&gt;=30,E26&gt;=30,F26&gt;=30),"Pass","Fail")</f>
        <v>Pass</v>
      </c>
    </row>
    <row r="27" spans="1:13" x14ac:dyDescent="0.3">
      <c r="A27" s="2" t="s">
        <v>31</v>
      </c>
      <c r="B27" s="2">
        <v>26</v>
      </c>
      <c r="C27" s="2">
        <v>92</v>
      </c>
      <c r="D27" s="2">
        <v>89</v>
      </c>
      <c r="E27" s="2">
        <v>93</v>
      </c>
      <c r="F27" s="2">
        <v>95</v>
      </c>
      <c r="G27">
        <f t="shared" si="0"/>
        <v>369</v>
      </c>
      <c r="H27">
        <f t="shared" si="1"/>
        <v>95</v>
      </c>
      <c r="I27">
        <f>MIN(C27:F27)</f>
        <v>89</v>
      </c>
      <c r="J27">
        <f t="shared" si="2"/>
        <v>4</v>
      </c>
      <c r="K27">
        <f>AVERAGE(C27:F27)</f>
        <v>92.25</v>
      </c>
      <c r="L27" t="str">
        <f t="shared" si="3"/>
        <v>Pass</v>
      </c>
      <c r="M27" t="str">
        <f>IF(AND(C27&gt;=30,D27&gt;=30,E27&gt;=30,F27&gt;=30),"Pass","Fail")</f>
        <v>Pass</v>
      </c>
    </row>
    <row r="28" spans="1:13" x14ac:dyDescent="0.3">
      <c r="A28" s="2" t="s">
        <v>32</v>
      </c>
      <c r="B28" s="2">
        <v>27</v>
      </c>
      <c r="C28" s="2">
        <v>68</v>
      </c>
      <c r="D28" s="2">
        <v>70</v>
      </c>
      <c r="E28" s="2">
        <v>69</v>
      </c>
      <c r="F28" s="2">
        <v>22</v>
      </c>
      <c r="G28">
        <f t="shared" si="0"/>
        <v>229</v>
      </c>
      <c r="H28">
        <f t="shared" si="1"/>
        <v>70</v>
      </c>
      <c r="I28">
        <f>MIN(C28:F28)</f>
        <v>22</v>
      </c>
      <c r="J28">
        <f t="shared" si="2"/>
        <v>4</v>
      </c>
      <c r="K28">
        <f>AVERAGE(C28:F28)</f>
        <v>57.25</v>
      </c>
      <c r="L28" t="str">
        <f t="shared" si="3"/>
        <v>Fail</v>
      </c>
      <c r="M28" t="str">
        <f>IF(AND(C28&gt;=30,D28&gt;=30,E28&gt;=30,F28&gt;=30),"Pass","Fail")</f>
        <v>Fail</v>
      </c>
    </row>
    <row r="29" spans="1:13" x14ac:dyDescent="0.3">
      <c r="A29" s="2" t="s">
        <v>33</v>
      </c>
      <c r="B29" s="2">
        <v>28</v>
      </c>
      <c r="C29" s="2">
        <v>94</v>
      </c>
      <c r="D29" s="2">
        <v>91</v>
      </c>
      <c r="E29" s="2">
        <v>20</v>
      </c>
      <c r="F29" s="2">
        <v>98</v>
      </c>
      <c r="G29">
        <f t="shared" si="0"/>
        <v>303</v>
      </c>
      <c r="H29">
        <f t="shared" si="1"/>
        <v>98</v>
      </c>
      <c r="I29">
        <f>MIN(C29:F29)</f>
        <v>20</v>
      </c>
      <c r="J29">
        <f t="shared" si="2"/>
        <v>4</v>
      </c>
      <c r="K29">
        <f>AVERAGE(C29:F29)</f>
        <v>75.75</v>
      </c>
      <c r="L29" t="str">
        <f t="shared" si="3"/>
        <v>Pass</v>
      </c>
      <c r="M29" t="str">
        <f>IF(AND(C29&gt;=30,D29&gt;=30,E29&gt;=30,F29&gt;=30),"Pass","Fail")</f>
        <v>Fail</v>
      </c>
    </row>
    <row r="30" spans="1:13" x14ac:dyDescent="0.3">
      <c r="A30" s="2" t="s">
        <v>34</v>
      </c>
      <c r="B30" s="2">
        <v>29</v>
      </c>
      <c r="C30" s="2">
        <v>63</v>
      </c>
      <c r="D30" s="2">
        <v>66</v>
      </c>
      <c r="E30" s="2">
        <v>64</v>
      </c>
      <c r="F30" s="2">
        <v>71</v>
      </c>
      <c r="G30">
        <f t="shared" si="0"/>
        <v>264</v>
      </c>
      <c r="H30">
        <f t="shared" si="1"/>
        <v>71</v>
      </c>
      <c r="I30">
        <f>MIN(C30:F30)</f>
        <v>63</v>
      </c>
      <c r="J30">
        <f t="shared" si="2"/>
        <v>4</v>
      </c>
      <c r="K30">
        <f>AVERAGE(C30:F30)</f>
        <v>66</v>
      </c>
      <c r="L30" t="str">
        <f t="shared" si="3"/>
        <v>Fail</v>
      </c>
      <c r="M30" t="str">
        <f>IF(AND(C30&gt;=30,D30&gt;=30,E30&gt;=30,F30&gt;=30),"Pass","Fail")</f>
        <v>Pass</v>
      </c>
    </row>
    <row r="31" spans="1:13" x14ac:dyDescent="0.3">
      <c r="A31" s="2" t="s">
        <v>35</v>
      </c>
      <c r="B31" s="2">
        <v>30</v>
      </c>
      <c r="C31" s="2">
        <v>89</v>
      </c>
      <c r="D31" s="2">
        <v>87</v>
      </c>
      <c r="E31" s="2">
        <v>90</v>
      </c>
      <c r="F31" s="2">
        <v>21</v>
      </c>
      <c r="G31">
        <f t="shared" si="0"/>
        <v>287</v>
      </c>
      <c r="H31">
        <f t="shared" si="1"/>
        <v>90</v>
      </c>
      <c r="I31">
        <f>MIN(C31:F31)</f>
        <v>21</v>
      </c>
      <c r="J31">
        <f t="shared" si="2"/>
        <v>4</v>
      </c>
      <c r="K31">
        <f>AVERAGE(C31:F31)</f>
        <v>71.75</v>
      </c>
      <c r="L31" t="str">
        <f t="shared" si="3"/>
        <v>Pass</v>
      </c>
      <c r="M31" t="str">
        <f>IF(AND(C31&gt;=30,D31&gt;=30,E31&gt;=30,F31&gt;=30),"Pass","Fail")</f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8668-6E17-4FA0-A48F-DB49EB5C5AF5}">
  <dimension ref="A1:T25"/>
  <sheetViews>
    <sheetView topLeftCell="A11" zoomScale="129" workbookViewId="0">
      <selection activeCell="B23" sqref="B23"/>
    </sheetView>
  </sheetViews>
  <sheetFormatPr defaultRowHeight="14.4" x14ac:dyDescent="0.3"/>
  <sheetData>
    <row r="1" spans="1:20" ht="15" thickBot="1" x14ac:dyDescent="0.35">
      <c r="A1" s="4"/>
      <c r="B1" s="4"/>
      <c r="C1" s="4"/>
    </row>
    <row r="2" spans="1:20" ht="15" thickBot="1" x14ac:dyDescent="0.35">
      <c r="A2" s="13" t="s">
        <v>45</v>
      </c>
      <c r="B2" s="14"/>
      <c r="C2" s="15"/>
    </row>
    <row r="4" spans="1:20" x14ac:dyDescent="0.3">
      <c r="D4" s="5" t="s">
        <v>44</v>
      </c>
      <c r="E4" s="6"/>
      <c r="F4" s="6" t="s">
        <v>46</v>
      </c>
      <c r="G4" s="6"/>
      <c r="H4" s="7"/>
      <c r="J4" s="5" t="s">
        <v>47</v>
      </c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x14ac:dyDescent="0.3">
      <c r="D5" s="8"/>
      <c r="E5" s="4"/>
      <c r="F5" s="4"/>
      <c r="G5" s="4"/>
      <c r="H5" s="9"/>
      <c r="J5" s="8"/>
      <c r="K5" s="4"/>
      <c r="L5" s="4"/>
      <c r="M5" s="4"/>
      <c r="N5" s="4"/>
      <c r="O5" s="4"/>
      <c r="P5" s="4"/>
      <c r="Q5" s="4"/>
      <c r="R5" s="4"/>
      <c r="S5" s="4"/>
      <c r="T5" s="9"/>
    </row>
    <row r="6" spans="1:20" x14ac:dyDescent="0.3">
      <c r="D6" s="8"/>
      <c r="E6" s="4">
        <v>5</v>
      </c>
      <c r="F6" s="4"/>
      <c r="G6" s="4"/>
      <c r="H6" s="9"/>
      <c r="J6" s="8"/>
      <c r="K6" s="4">
        <v>10</v>
      </c>
      <c r="L6" s="4">
        <v>20</v>
      </c>
      <c r="M6" s="4">
        <v>30</v>
      </c>
      <c r="N6" s="4">
        <v>40</v>
      </c>
      <c r="O6" s="4">
        <v>50</v>
      </c>
      <c r="P6" s="4">
        <v>60</v>
      </c>
      <c r="Q6" s="4">
        <v>70</v>
      </c>
      <c r="R6" s="4">
        <v>80</v>
      </c>
      <c r="S6" s="4">
        <v>90</v>
      </c>
      <c r="T6" s="9"/>
    </row>
    <row r="7" spans="1:20" x14ac:dyDescent="0.3">
      <c r="D7" s="8">
        <v>25</v>
      </c>
      <c r="E7" s="4"/>
      <c r="F7" s="4"/>
      <c r="G7" s="4">
        <f>D7+E$6</f>
        <v>30</v>
      </c>
      <c r="H7" s="9"/>
      <c r="J7" s="8">
        <v>10</v>
      </c>
      <c r="K7" s="4"/>
      <c r="L7" s="4"/>
      <c r="M7" s="4"/>
      <c r="N7" s="4"/>
      <c r="O7" s="4"/>
      <c r="P7" s="4"/>
      <c r="Q7" s="4"/>
      <c r="R7" s="4"/>
      <c r="S7" s="4"/>
      <c r="T7" s="9"/>
    </row>
    <row r="8" spans="1:20" x14ac:dyDescent="0.3">
      <c r="D8" s="8">
        <v>35</v>
      </c>
      <c r="E8" s="4"/>
      <c r="F8" s="4"/>
      <c r="G8" s="4">
        <f t="shared" ref="G8:G14" si="0">D8+E$6</f>
        <v>40</v>
      </c>
      <c r="H8" s="9"/>
      <c r="J8" s="8"/>
      <c r="K8" s="4"/>
      <c r="L8" s="4"/>
      <c r="M8" s="4"/>
      <c r="N8" s="4"/>
      <c r="O8" s="4"/>
      <c r="P8" s="4"/>
      <c r="Q8" s="4"/>
      <c r="R8" s="4"/>
      <c r="S8" s="4"/>
      <c r="T8" s="9"/>
    </row>
    <row r="9" spans="1:20" x14ac:dyDescent="0.3">
      <c r="D9" s="8">
        <v>45</v>
      </c>
      <c r="E9" s="4"/>
      <c r="F9" s="4"/>
      <c r="G9" s="4">
        <f t="shared" si="0"/>
        <v>50</v>
      </c>
      <c r="H9" s="9"/>
      <c r="J9" s="8"/>
      <c r="K9" s="4">
        <f>K6+$J7</f>
        <v>20</v>
      </c>
      <c r="L9" s="4">
        <f t="shared" ref="L9:S9" si="1">L6+$J7</f>
        <v>30</v>
      </c>
      <c r="M9" s="4">
        <f t="shared" si="1"/>
        <v>40</v>
      </c>
      <c r="N9" s="4">
        <f t="shared" si="1"/>
        <v>50</v>
      </c>
      <c r="O9" s="4">
        <f t="shared" si="1"/>
        <v>60</v>
      </c>
      <c r="P9" s="4">
        <f t="shared" si="1"/>
        <v>70</v>
      </c>
      <c r="Q9" s="4">
        <f t="shared" si="1"/>
        <v>80</v>
      </c>
      <c r="R9" s="4">
        <f t="shared" si="1"/>
        <v>90</v>
      </c>
      <c r="S9" s="4">
        <f t="shared" si="1"/>
        <v>100</v>
      </c>
      <c r="T9" s="9"/>
    </row>
    <row r="10" spans="1:20" x14ac:dyDescent="0.3">
      <c r="D10" s="8">
        <v>55</v>
      </c>
      <c r="E10" s="4"/>
      <c r="F10" s="4"/>
      <c r="G10" s="4">
        <f t="shared" si="0"/>
        <v>60</v>
      </c>
      <c r="H10" s="9"/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2"/>
    </row>
    <row r="11" spans="1:20" x14ac:dyDescent="0.3">
      <c r="D11" s="8">
        <v>65</v>
      </c>
      <c r="E11" s="4"/>
      <c r="F11" s="4"/>
      <c r="G11" s="4">
        <f t="shared" si="0"/>
        <v>70</v>
      </c>
      <c r="H11" s="9"/>
    </row>
    <row r="12" spans="1:20" x14ac:dyDescent="0.3">
      <c r="D12" s="8">
        <v>75</v>
      </c>
      <c r="E12" s="4"/>
      <c r="F12" s="4"/>
      <c r="G12" s="4">
        <f t="shared" si="0"/>
        <v>80</v>
      </c>
      <c r="H12" s="9"/>
    </row>
    <row r="13" spans="1:20" x14ac:dyDescent="0.3">
      <c r="D13" s="8">
        <v>85</v>
      </c>
      <c r="E13" s="4"/>
      <c r="F13" s="4"/>
      <c r="G13" s="4">
        <f t="shared" si="0"/>
        <v>90</v>
      </c>
      <c r="H13" s="9"/>
    </row>
    <row r="14" spans="1:20" x14ac:dyDescent="0.3">
      <c r="D14" s="10">
        <v>95</v>
      </c>
      <c r="E14" s="11"/>
      <c r="F14" s="11"/>
      <c r="G14" s="11">
        <f t="shared" si="0"/>
        <v>100</v>
      </c>
      <c r="H14" s="12"/>
    </row>
    <row r="17" spans="2:12" x14ac:dyDescent="0.3">
      <c r="G17" s="5" t="s">
        <v>48</v>
      </c>
      <c r="H17" s="6" t="s">
        <v>49</v>
      </c>
      <c r="I17" s="6"/>
      <c r="J17" s="6"/>
      <c r="K17" s="6"/>
      <c r="L17" s="7"/>
    </row>
    <row r="18" spans="2:12" x14ac:dyDescent="0.3">
      <c r="B18" t="s">
        <v>50</v>
      </c>
      <c r="C18" t="s">
        <v>51</v>
      </c>
      <c r="G18" s="8"/>
      <c r="H18" s="4">
        <v>1</v>
      </c>
      <c r="I18" s="4">
        <v>2</v>
      </c>
      <c r="J18" s="4">
        <v>3</v>
      </c>
      <c r="K18" s="4">
        <v>4</v>
      </c>
      <c r="L18" s="9">
        <v>5</v>
      </c>
    </row>
    <row r="19" spans="2:12" x14ac:dyDescent="0.3">
      <c r="G19" s="8">
        <v>10</v>
      </c>
      <c r="H19" s="4">
        <f>$G19*H$18</f>
        <v>10</v>
      </c>
      <c r="I19" s="4">
        <f t="shared" ref="I19:L23" si="2">$G19*I$18</f>
        <v>20</v>
      </c>
      <c r="J19" s="4">
        <f t="shared" si="2"/>
        <v>30</v>
      </c>
      <c r="K19" s="4">
        <f t="shared" si="2"/>
        <v>40</v>
      </c>
      <c r="L19" s="9">
        <f t="shared" si="2"/>
        <v>50</v>
      </c>
    </row>
    <row r="20" spans="2:12" x14ac:dyDescent="0.3">
      <c r="B20" t="s">
        <v>52</v>
      </c>
      <c r="G20" s="8">
        <v>20</v>
      </c>
      <c r="H20" s="4">
        <f t="shared" ref="H20:H23" si="3">$G20*H$18</f>
        <v>20</v>
      </c>
      <c r="I20" s="4">
        <f t="shared" si="2"/>
        <v>40</v>
      </c>
      <c r="J20" s="4">
        <f t="shared" si="2"/>
        <v>60</v>
      </c>
      <c r="K20" s="4">
        <f t="shared" si="2"/>
        <v>80</v>
      </c>
      <c r="L20" s="9">
        <f t="shared" si="2"/>
        <v>100</v>
      </c>
    </row>
    <row r="21" spans="2:12" x14ac:dyDescent="0.3">
      <c r="B21" t="s">
        <v>53</v>
      </c>
      <c r="G21" s="8">
        <v>30</v>
      </c>
      <c r="H21" s="4">
        <f t="shared" si="3"/>
        <v>30</v>
      </c>
      <c r="I21" s="4">
        <f t="shared" si="2"/>
        <v>60</v>
      </c>
      <c r="J21" s="4">
        <f t="shared" si="2"/>
        <v>90</v>
      </c>
      <c r="K21" s="4">
        <f t="shared" si="2"/>
        <v>120</v>
      </c>
      <c r="L21" s="9">
        <f t="shared" si="2"/>
        <v>150</v>
      </c>
    </row>
    <row r="22" spans="2:12" x14ac:dyDescent="0.3">
      <c r="B22" t="s">
        <v>54</v>
      </c>
      <c r="G22" s="8">
        <v>40</v>
      </c>
      <c r="H22" s="4">
        <f t="shared" si="3"/>
        <v>40</v>
      </c>
      <c r="I22" s="4">
        <f t="shared" si="2"/>
        <v>80</v>
      </c>
      <c r="J22" s="4">
        <f t="shared" si="2"/>
        <v>120</v>
      </c>
      <c r="K22" s="4">
        <f t="shared" si="2"/>
        <v>160</v>
      </c>
      <c r="L22" s="9">
        <f t="shared" si="2"/>
        <v>200</v>
      </c>
    </row>
    <row r="23" spans="2:12" x14ac:dyDescent="0.3">
      <c r="G23" s="8">
        <v>50</v>
      </c>
      <c r="H23" s="4">
        <f t="shared" si="3"/>
        <v>50</v>
      </c>
      <c r="I23" s="4">
        <f t="shared" si="2"/>
        <v>100</v>
      </c>
      <c r="J23" s="4">
        <f t="shared" si="2"/>
        <v>150</v>
      </c>
      <c r="K23" s="4">
        <f t="shared" si="2"/>
        <v>200</v>
      </c>
      <c r="L23" s="9">
        <f t="shared" si="2"/>
        <v>250</v>
      </c>
    </row>
    <row r="24" spans="2:12" x14ac:dyDescent="0.3">
      <c r="G24" s="8"/>
      <c r="H24" s="4"/>
      <c r="I24" s="4"/>
      <c r="J24" s="4"/>
      <c r="K24" s="4"/>
      <c r="L24" s="9"/>
    </row>
    <row r="25" spans="2:12" x14ac:dyDescent="0.3">
      <c r="G25" s="10"/>
      <c r="H25" s="11"/>
      <c r="I25" s="11"/>
      <c r="J25" s="11"/>
      <c r="K25" s="11"/>
      <c r="L25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Khedkar</dc:creator>
  <cp:lastModifiedBy>Pranjal Khedkar</cp:lastModifiedBy>
  <dcterms:created xsi:type="dcterms:W3CDTF">2026-05-26T05:40:15Z</dcterms:created>
  <dcterms:modified xsi:type="dcterms:W3CDTF">2026-05-29T10:36:25Z</dcterms:modified>
</cp:coreProperties>
</file>